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9ef13fffd1d2dd0/Documents/"/>
    </mc:Choice>
  </mc:AlternateContent>
  <xr:revisionPtr revIDLastSave="173" documentId="11_B57E6BD2D140A2CFEB3B98154B5DCE3AE7CC9F21" xr6:coauthVersionLast="47" xr6:coauthVersionMax="47" xr10:uidLastSave="{82F2131E-B19A-4313-84ED-E5A15C339201}"/>
  <bookViews>
    <workbookView xWindow="-108" yWindow="-108" windowWidth="23256" windowHeight="14616" xr2:uid="{00000000-000D-0000-FFFF-FFFF00000000}"/>
  </bookViews>
  <sheets>
    <sheet name="Student Mark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L2" i="1"/>
  <c r="L3" i="1"/>
  <c r="I2" i="1"/>
  <c r="G2" i="1"/>
  <c r="H2" i="1" s="1"/>
  <c r="I3" i="1"/>
  <c r="G3" i="1"/>
  <c r="H3" i="1" s="1"/>
  <c r="I4" i="1"/>
  <c r="G4" i="1"/>
  <c r="H4" i="1" s="1"/>
  <c r="I5" i="1"/>
  <c r="G5" i="1"/>
  <c r="H5" i="1" s="1"/>
  <c r="I6" i="1"/>
  <c r="G6" i="1"/>
  <c r="H6" i="1" s="1"/>
  <c r="I7" i="1"/>
  <c r="G7" i="1"/>
  <c r="H7" i="1" s="1"/>
  <c r="I8" i="1"/>
  <c r="G8" i="1"/>
  <c r="H8" i="1" s="1"/>
  <c r="I9" i="1"/>
  <c r="G9" i="1"/>
  <c r="H9" i="1" s="1"/>
  <c r="I10" i="1"/>
  <c r="G10" i="1"/>
  <c r="H10" i="1" s="1"/>
  <c r="I12" i="1"/>
  <c r="G12" i="1"/>
  <c r="H12" i="1" s="1"/>
  <c r="I11" i="1"/>
  <c r="G11" i="1"/>
  <c r="H11" i="1" s="1"/>
  <c r="I13" i="1"/>
  <c r="G13" i="1"/>
  <c r="H13" i="1" s="1"/>
  <c r="I14" i="1"/>
  <c r="G14" i="1"/>
  <c r="H14" i="1" s="1"/>
  <c r="I16" i="1"/>
  <c r="G16" i="1"/>
  <c r="H16" i="1" s="1"/>
  <c r="I15" i="1"/>
  <c r="G15" i="1"/>
  <c r="H15" i="1" s="1"/>
  <c r="I17" i="1"/>
  <c r="G17" i="1"/>
  <c r="H17" i="1" s="1"/>
  <c r="I18" i="1"/>
  <c r="G18" i="1"/>
  <c r="H18" i="1" s="1"/>
  <c r="I19" i="1"/>
  <c r="G19" i="1"/>
  <c r="H19" i="1" s="1"/>
  <c r="I20" i="1"/>
  <c r="G20" i="1"/>
  <c r="H20" i="1" s="1"/>
  <c r="I21" i="1"/>
  <c r="G21" i="1"/>
  <c r="H21" i="1" s="1"/>
  <c r="I22" i="1"/>
  <c r="G22" i="1"/>
  <c r="H22" i="1" s="1"/>
  <c r="I23" i="1"/>
  <c r="G23" i="1"/>
  <c r="H23" i="1" s="1"/>
  <c r="I24" i="1"/>
  <c r="G24" i="1"/>
  <c r="H24" i="1" s="1"/>
  <c r="I25" i="1"/>
  <c r="G25" i="1"/>
  <c r="H25" i="1" s="1"/>
  <c r="I26" i="1"/>
  <c r="G26" i="1"/>
  <c r="H26" i="1" s="1"/>
  <c r="I28" i="1"/>
  <c r="G28" i="1"/>
  <c r="H28" i="1" s="1"/>
  <c r="I27" i="1"/>
  <c r="G27" i="1"/>
  <c r="H27" i="1" s="1"/>
  <c r="I29" i="1"/>
  <c r="G29" i="1"/>
  <c r="H29" i="1" s="1"/>
  <c r="I30" i="1"/>
  <c r="G30" i="1"/>
  <c r="H30" i="1" s="1"/>
  <c r="I32" i="1"/>
  <c r="G32" i="1"/>
  <c r="H32" i="1" s="1"/>
  <c r="I31" i="1"/>
  <c r="G31" i="1"/>
  <c r="H31" i="1" s="1"/>
  <c r="I34" i="1"/>
  <c r="G34" i="1"/>
  <c r="H34" i="1" s="1"/>
  <c r="I33" i="1"/>
  <c r="G33" i="1"/>
  <c r="H33" i="1" s="1"/>
  <c r="I35" i="1"/>
  <c r="G35" i="1"/>
  <c r="H35" i="1" s="1"/>
  <c r="I36" i="1"/>
  <c r="G36" i="1"/>
  <c r="H36" i="1" s="1"/>
  <c r="I37" i="1"/>
  <c r="G37" i="1"/>
  <c r="H37" i="1" s="1"/>
  <c r="I38" i="1"/>
  <c r="G38" i="1"/>
  <c r="H38" i="1" s="1"/>
  <c r="I40" i="1"/>
  <c r="G40" i="1"/>
  <c r="H40" i="1" s="1"/>
  <c r="I39" i="1"/>
  <c r="G39" i="1"/>
  <c r="H39" i="1" s="1"/>
  <c r="I41" i="1"/>
  <c r="G41" i="1"/>
  <c r="H41" i="1" s="1"/>
  <c r="I42" i="1"/>
  <c r="G42" i="1"/>
  <c r="H42" i="1" s="1"/>
  <c r="I43" i="1"/>
  <c r="G43" i="1"/>
  <c r="H43" i="1" s="1"/>
  <c r="I44" i="1"/>
  <c r="G44" i="1"/>
  <c r="H44" i="1" s="1"/>
  <c r="I45" i="1"/>
  <c r="G45" i="1"/>
  <c r="H45" i="1" s="1"/>
  <c r="I46" i="1"/>
  <c r="G46" i="1"/>
  <c r="H46" i="1" s="1"/>
  <c r="I48" i="1"/>
  <c r="G48" i="1"/>
  <c r="H48" i="1" s="1"/>
  <c r="I47" i="1"/>
  <c r="G47" i="1"/>
  <c r="H47" i="1" s="1"/>
  <c r="I49" i="1"/>
  <c r="G49" i="1"/>
  <c r="H49" i="1" s="1"/>
  <c r="I50" i="1"/>
  <c r="G50" i="1"/>
  <c r="H50" i="1" s="1"/>
  <c r="I51" i="1"/>
  <c r="G51" i="1"/>
  <c r="H51" i="1" s="1"/>
</calcChain>
</file>

<file path=xl/sharedStrings.xml><?xml version="1.0" encoding="utf-8"?>
<sst xmlns="http://schemas.openxmlformats.org/spreadsheetml/2006/main" count="65" uniqueCount="64">
  <si>
    <t>Name</t>
  </si>
  <si>
    <t>Tamil</t>
  </si>
  <si>
    <t>English</t>
  </si>
  <si>
    <t>Maths</t>
  </si>
  <si>
    <t>Science</t>
  </si>
  <si>
    <t>Total</t>
  </si>
  <si>
    <t>Average</t>
  </si>
  <si>
    <t>Grade</t>
  </si>
  <si>
    <t>Result</t>
  </si>
  <si>
    <t>Arun</t>
  </si>
  <si>
    <t>Ravi</t>
  </si>
  <si>
    <t>Meena</t>
  </si>
  <si>
    <t>Kiran</t>
  </si>
  <si>
    <t>Divya</t>
  </si>
  <si>
    <t>Suresh</t>
  </si>
  <si>
    <t>Anitha</t>
  </si>
  <si>
    <t>Vikram</t>
  </si>
  <si>
    <t>Priya</t>
  </si>
  <si>
    <t>Rahul</t>
  </si>
  <si>
    <t>Sneha</t>
  </si>
  <si>
    <t>Karthik</t>
  </si>
  <si>
    <t>Lavanya</t>
  </si>
  <si>
    <t>Manoj</t>
  </si>
  <si>
    <t>Pooja</t>
  </si>
  <si>
    <t>Deepak</t>
  </si>
  <si>
    <t>Nisha</t>
  </si>
  <si>
    <t>Arvind</t>
  </si>
  <si>
    <t>Keerthi</t>
  </si>
  <si>
    <t>Gokul</t>
  </si>
  <si>
    <t>Harini</t>
  </si>
  <si>
    <t>Dinesh</t>
  </si>
  <si>
    <t>Shalini</t>
  </si>
  <si>
    <t>Vijay</t>
  </si>
  <si>
    <t>Aishwarya</t>
  </si>
  <si>
    <t>Ramesh</t>
  </si>
  <si>
    <t>Swathi</t>
  </si>
  <si>
    <t>Naveen</t>
  </si>
  <si>
    <t>Bhavya</t>
  </si>
  <si>
    <t>Kumar</t>
  </si>
  <si>
    <t>Janani</t>
  </si>
  <si>
    <t>Surya</t>
  </si>
  <si>
    <t>Rekha</t>
  </si>
  <si>
    <t>Madhan</t>
  </si>
  <si>
    <t>Gayathri</t>
  </si>
  <si>
    <t>Ajay</t>
  </si>
  <si>
    <t>Divakar</t>
  </si>
  <si>
    <t>Ishwarya</t>
  </si>
  <si>
    <t>Lokesh</t>
  </si>
  <si>
    <t>Monika</t>
  </si>
  <si>
    <t>Nitin</t>
  </si>
  <si>
    <t>Pavithra</t>
  </si>
  <si>
    <t>Rohit</t>
  </si>
  <si>
    <t>Sathya</t>
  </si>
  <si>
    <t>Tejas</t>
  </si>
  <si>
    <t>Usha</t>
  </si>
  <si>
    <t>Varun</t>
  </si>
  <si>
    <t>Yamini</t>
  </si>
  <si>
    <t>Zakir</t>
  </si>
  <si>
    <t>Kavya</t>
  </si>
  <si>
    <t>B</t>
  </si>
  <si>
    <t>Pass</t>
  </si>
  <si>
    <t>result count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</si>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</sst>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4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Pass vs Fail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AE6-4DCB-86A6-8B98B4FE6CC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AE6-4DCB-86A6-8B98B4FE6C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'Student Marks'!$K$2:$K$3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'Student Marks'!$L$2:$L$3</c:f>
              <c:numCache>
                <c:formatCode>General</c:formatCode>
                <c:ptCount val="2"/>
                <c:pt idx="0">
                  <c:v>42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E6-4DCB-86A6-8B98B4FE6CC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Student's</a:t>
            </a:r>
            <a:r>
              <a:rPr lang="en-US" baseline="0"/>
              <a:t> total 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'Student Marks'!$F$1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'Student Marks'!$F$2:$F$51</c:f>
              <c:numCache>
                <c:formatCode>General</c:formatCode>
                <c:ptCount val="50"/>
                <c:pt idx="0">
                  <c:v>130</c:v>
                </c:pt>
                <c:pt idx="1">
                  <c:v>263</c:v>
                </c:pt>
                <c:pt idx="2">
                  <c:v>378</c:v>
                </c:pt>
                <c:pt idx="3">
                  <c:v>291</c:v>
                </c:pt>
                <c:pt idx="4">
                  <c:v>354</c:v>
                </c:pt>
                <c:pt idx="5">
                  <c:v>231</c:v>
                </c:pt>
                <c:pt idx="6">
                  <c:v>329</c:v>
                </c:pt>
                <c:pt idx="7">
                  <c:v>279</c:v>
                </c:pt>
                <c:pt idx="8">
                  <c:v>366</c:v>
                </c:pt>
                <c:pt idx="9">
                  <c:v>137</c:v>
                </c:pt>
                <c:pt idx="10">
                  <c:v>251</c:v>
                </c:pt>
                <c:pt idx="11">
                  <c:v>210</c:v>
                </c:pt>
                <c:pt idx="12">
                  <c:v>377</c:v>
                </c:pt>
                <c:pt idx="13">
                  <c:v>145</c:v>
                </c:pt>
                <c:pt idx="14">
                  <c:v>294</c:v>
                </c:pt>
                <c:pt idx="15">
                  <c:v>358</c:v>
                </c:pt>
                <c:pt idx="16">
                  <c:v>239</c:v>
                </c:pt>
                <c:pt idx="17">
                  <c:v>333</c:v>
                </c:pt>
                <c:pt idx="18">
                  <c:v>298</c:v>
                </c:pt>
                <c:pt idx="19">
                  <c:v>370</c:v>
                </c:pt>
                <c:pt idx="20">
                  <c:v>230</c:v>
                </c:pt>
                <c:pt idx="21">
                  <c:v>350</c:v>
                </c:pt>
                <c:pt idx="22">
                  <c:v>279</c:v>
                </c:pt>
                <c:pt idx="23">
                  <c:v>340</c:v>
                </c:pt>
                <c:pt idx="24">
                  <c:v>195</c:v>
                </c:pt>
                <c:pt idx="25">
                  <c:v>144</c:v>
                </c:pt>
                <c:pt idx="26">
                  <c:v>372</c:v>
                </c:pt>
                <c:pt idx="27">
                  <c:v>317</c:v>
                </c:pt>
                <c:pt idx="28">
                  <c:v>220</c:v>
                </c:pt>
                <c:pt idx="29">
                  <c:v>151</c:v>
                </c:pt>
                <c:pt idx="30">
                  <c:v>362</c:v>
                </c:pt>
                <c:pt idx="31">
                  <c:v>143</c:v>
                </c:pt>
                <c:pt idx="32">
                  <c:v>346</c:v>
                </c:pt>
                <c:pt idx="33">
                  <c:v>374</c:v>
                </c:pt>
                <c:pt idx="34">
                  <c:v>268</c:v>
                </c:pt>
                <c:pt idx="35">
                  <c:v>313</c:v>
                </c:pt>
                <c:pt idx="36">
                  <c:v>185</c:v>
                </c:pt>
                <c:pt idx="37">
                  <c:v>146</c:v>
                </c:pt>
                <c:pt idx="38">
                  <c:v>364</c:v>
                </c:pt>
                <c:pt idx="39">
                  <c:v>334</c:v>
                </c:pt>
                <c:pt idx="40">
                  <c:v>205</c:v>
                </c:pt>
                <c:pt idx="41">
                  <c:v>378</c:v>
                </c:pt>
                <c:pt idx="42">
                  <c:v>284</c:v>
                </c:pt>
                <c:pt idx="43">
                  <c:v>355</c:v>
                </c:pt>
                <c:pt idx="44">
                  <c:v>235</c:v>
                </c:pt>
                <c:pt idx="45">
                  <c:v>135</c:v>
                </c:pt>
                <c:pt idx="46">
                  <c:v>315</c:v>
                </c:pt>
                <c:pt idx="47">
                  <c:v>170</c:v>
                </c:pt>
                <c:pt idx="48">
                  <c:v>250</c:v>
                </c:pt>
                <c:pt idx="49">
                  <c:v>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6-4E5F-8F6E-FEA93A8E4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98841232"/>
        <c:axId val="498840752"/>
      </c:barChart>
      <c:catAx>
        <c:axId val="498841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840752"/>
        <c:crosses val="autoZero"/>
        <c:auto val="1"/>
        <c:lblAlgn val="ctr"/>
        <c:lblOffset val="100"/>
        <c:noMultiLvlLbl val="0"/>
      </c:catAx>
      <c:valAx>
        <c:axId val="4988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84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Student's</a:t>
            </a:r>
            <a:r>
              <a:rPr lang="en-US" baseline="0"/>
              <a:t> Average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'Student Marks'!$G$1</c:f>
              <c:strCache>
                <c:ptCount val="1"/>
                <c:pt idx="0">
                  <c:v>Average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'Student Marks'!$G$2:$G$51</c:f>
              <c:numCache>
                <c:formatCode>General</c:formatCode>
                <c:ptCount val="50"/>
                <c:pt idx="0">
                  <c:v>32.5</c:v>
                </c:pt>
                <c:pt idx="1">
                  <c:v>65.75</c:v>
                </c:pt>
                <c:pt idx="2">
                  <c:v>94.5</c:v>
                </c:pt>
                <c:pt idx="3">
                  <c:v>72.75</c:v>
                </c:pt>
                <c:pt idx="4">
                  <c:v>88.5</c:v>
                </c:pt>
                <c:pt idx="5">
                  <c:v>57.75</c:v>
                </c:pt>
                <c:pt idx="6">
                  <c:v>82.25</c:v>
                </c:pt>
                <c:pt idx="7">
                  <c:v>69.75</c:v>
                </c:pt>
                <c:pt idx="8">
                  <c:v>91.5</c:v>
                </c:pt>
                <c:pt idx="9">
                  <c:v>34.25</c:v>
                </c:pt>
                <c:pt idx="10">
                  <c:v>62.75</c:v>
                </c:pt>
                <c:pt idx="11">
                  <c:v>52.5</c:v>
                </c:pt>
                <c:pt idx="12">
                  <c:v>94.25</c:v>
                </c:pt>
                <c:pt idx="13">
                  <c:v>36.25</c:v>
                </c:pt>
                <c:pt idx="14">
                  <c:v>73.5</c:v>
                </c:pt>
                <c:pt idx="15">
                  <c:v>89.5</c:v>
                </c:pt>
                <c:pt idx="16">
                  <c:v>59.75</c:v>
                </c:pt>
                <c:pt idx="17">
                  <c:v>83.25</c:v>
                </c:pt>
                <c:pt idx="18">
                  <c:v>74.5</c:v>
                </c:pt>
                <c:pt idx="19">
                  <c:v>92.5</c:v>
                </c:pt>
                <c:pt idx="20">
                  <c:v>57.5</c:v>
                </c:pt>
                <c:pt idx="21">
                  <c:v>87.5</c:v>
                </c:pt>
                <c:pt idx="22">
                  <c:v>69.75</c:v>
                </c:pt>
                <c:pt idx="23">
                  <c:v>85</c:v>
                </c:pt>
                <c:pt idx="24">
                  <c:v>48.75</c:v>
                </c:pt>
                <c:pt idx="25">
                  <c:v>36</c:v>
                </c:pt>
                <c:pt idx="26">
                  <c:v>93</c:v>
                </c:pt>
                <c:pt idx="27">
                  <c:v>79.25</c:v>
                </c:pt>
                <c:pt idx="28">
                  <c:v>55</c:v>
                </c:pt>
                <c:pt idx="29">
                  <c:v>37.75</c:v>
                </c:pt>
                <c:pt idx="30">
                  <c:v>90.5</c:v>
                </c:pt>
                <c:pt idx="31">
                  <c:v>35.75</c:v>
                </c:pt>
                <c:pt idx="32">
                  <c:v>86.5</c:v>
                </c:pt>
                <c:pt idx="33">
                  <c:v>93.5</c:v>
                </c:pt>
                <c:pt idx="34">
                  <c:v>67</c:v>
                </c:pt>
                <c:pt idx="35">
                  <c:v>78.25</c:v>
                </c:pt>
                <c:pt idx="36">
                  <c:v>46.25</c:v>
                </c:pt>
                <c:pt idx="37">
                  <c:v>36.5</c:v>
                </c:pt>
                <c:pt idx="38">
                  <c:v>91</c:v>
                </c:pt>
                <c:pt idx="39">
                  <c:v>83.5</c:v>
                </c:pt>
                <c:pt idx="40">
                  <c:v>51.25</c:v>
                </c:pt>
                <c:pt idx="41">
                  <c:v>94.5</c:v>
                </c:pt>
                <c:pt idx="42">
                  <c:v>71</c:v>
                </c:pt>
                <c:pt idx="43">
                  <c:v>88.75</c:v>
                </c:pt>
                <c:pt idx="44">
                  <c:v>58.75</c:v>
                </c:pt>
                <c:pt idx="45">
                  <c:v>33.75</c:v>
                </c:pt>
                <c:pt idx="46">
                  <c:v>78.75</c:v>
                </c:pt>
                <c:pt idx="47">
                  <c:v>42.5</c:v>
                </c:pt>
                <c:pt idx="48">
                  <c:v>62.5</c:v>
                </c:pt>
                <c:pt idx="49">
                  <c:v>85.75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D-445B-BCBB-C5FB0F52F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844896"/>
        <c:axId val="684845376"/>
      </c:lineChart>
      <c:catAx>
        <c:axId val="684844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845376"/>
        <c:crosses val="autoZero"/>
        <c:auto val="1"/>
        <c:lblAlgn val="ctr"/>
        <c:lblOffset val="100"/>
        <c:noMultiLvlLbl val="0"/>
      </c:catAx>
      <c:valAx>
        <c:axId val="6848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84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541020</xdr:colOff>
      <xdr:row>5</xdr:row>
      <xdr:rowOff>0</xdr:rowOff>
    </xdr:from>
    <xdr:to>
      <xdr:col>16</xdr:col>
      <xdr:colOff>274320</xdr:colOff>
      <xdr:row>22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7F58BC-DC37-47A5-90E5-2E53CFA4A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510540</xdr:colOff>
      <xdr:row>31</xdr:row>
      <xdr:rowOff>83820</xdr:rowOff>
    </xdr:from>
    <xdr:to>
      <xdr:col>16</xdr:col>
      <xdr:colOff>251460</xdr:colOff>
      <xdr:row>51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161036-30E4-4BB1-97BD-169EDCE562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411480</xdr:colOff>
      <xdr:row>59</xdr:row>
      <xdr:rowOff>22860</xdr:rowOff>
    </xdr:from>
    <xdr:to>
      <xdr:col>16</xdr:col>
      <xdr:colOff>480060</xdr:colOff>
      <xdr:row>75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A62B39C-BC18-4DC6-81B6-D0854A3CE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3C18AA-04C5-4354-84DA-54EB723F582F}" name="Table2" displayName="Table2" ref="A1:I51" totalsRowShown="0" headerRowDxfId="3">
  <autoFilter ref="A1:I51" xr:uid="{153C18AA-04C5-4354-84DA-54EB723F582F}"/>
  <tableColumns count="9">
    <tableColumn id="1" xr3:uid="{41A780B1-98D4-4F3A-8075-B488E9FB167D}" name="Name"/>
    <tableColumn id="2" xr3:uid="{BAA1DDDC-2FD6-4146-9EE7-98D757587D78}" name="Tamil"/>
    <tableColumn id="3" xr3:uid="{0D2914D6-EED1-42ED-B81C-584EE262ADF6}" name="English"/>
    <tableColumn id="4" xr3:uid="{84709617-BAA1-441E-8AD5-6616FAFFCE21}" name="Maths"/>
    <tableColumn id="5" xr3:uid="{BDB068BD-C7BF-4460-8759-1A20B56577F2}" name="Science"/>
    <tableColumn id="6" xr3:uid="{228B9940-7849-4B42-A962-6F0578D7C17A}" name="Total" dataDxfId="0">
      <calculatedColumnFormula>SUM(Table2[[#This Row],[Tamil]:[Science]])</calculatedColumnFormula>
    </tableColumn>
    <tableColumn id="7" xr3:uid="{C33A8A04-51F9-4CC7-B997-AEC37B4C0300}" name="Average">
      <calculatedColumnFormula>AVERAGE(B2:E2)</calculatedColumnFormula>
    </tableColumn>
    <tableColumn id="8" xr3:uid="{868FBBBD-9EC9-428E-B440-45BACF9CDE1D}" name="Grade">
      <calculatedColumnFormula>IF(G2&gt;=90,"A",IF(G2&gt;=75,"B",IF(G2&gt;=50,"C","D")))</calculatedColumnFormula>
    </tableColumn>
    <tableColumn id="9" xr3:uid="{D5F88E8F-C8E0-4417-8B71-4086A95554B7}" name="Result">
      <calculatedColumnFormula>IF(MIN(B2:E2)&lt;35,"Fail","Pass")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zoomScale="65" zoomScaleNormal="65" workbookViewId="0">
      <selection activeCell="L3" sqref="L3"/>
    </sheetView>
  </sheetViews>
  <sheetFormatPr defaultRowHeight="14.4" x14ac:dyDescent="0.3"/>
  <cols>
    <col min="5" max="5" width="9" customWidth="1"/>
    <col min="7" max="7" width="9.44140625" customWidth="1"/>
    <col min="13" max="13" width="10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61</v>
      </c>
      <c r="L1" s="2"/>
    </row>
    <row r="2" spans="1:12" x14ac:dyDescent="0.3">
      <c r="A2" t="s">
        <v>58</v>
      </c>
      <c r="B2">
        <v>40</v>
      </c>
      <c r="C2">
        <v>30</v>
      </c>
      <c r="D2">
        <v>35</v>
      </c>
      <c r="E2">
        <v>25</v>
      </c>
      <c r="F2">
        <f>SUM(Table2[[#This Row],[Tamil]:[Science]])</f>
        <v>130</v>
      </c>
      <c r="G2">
        <f>AVERAGE(B2:E2)</f>
        <v>32.5</v>
      </c>
      <c r="H2" t="str">
        <f>IF(G2&gt;=90,"A",IF(G2&gt;=75,"B",IF(G2&gt;=50,"C","D")))</f>
        <v>D</v>
      </c>
      <c r="I2" t="str">
        <f>IF(MIN(B2:E2)&lt;35,"Fail","Pass")</f>
        <v>Fail</v>
      </c>
      <c r="K2" s="3" t="s">
        <v>62</v>
      </c>
      <c r="L2" s="3">
        <f>COUNTIF(I2:I51,"pass")</f>
        <v>42</v>
      </c>
    </row>
    <row r="3" spans="1:12" x14ac:dyDescent="0.3">
      <c r="A3" t="s">
        <v>57</v>
      </c>
      <c r="B3">
        <v>64</v>
      </c>
      <c r="C3">
        <v>66</v>
      </c>
      <c r="D3">
        <v>68</v>
      </c>
      <c r="E3">
        <v>65</v>
      </c>
      <c r="F3">
        <f>SUM(Table2[[#This Row],[Tamil]:[Science]])</f>
        <v>263</v>
      </c>
      <c r="G3">
        <f>AVERAGE(B3:E3)</f>
        <v>65.75</v>
      </c>
      <c r="H3" t="str">
        <f>IF(G3&gt;=90,"A",IF(G3&gt;=75,"B",IF(G3&gt;=50,"C","D")))</f>
        <v>C</v>
      </c>
      <c r="I3" t="str">
        <f>IF(MIN(B3:E3)&lt;35,"Fail","Pass")</f>
        <v>Pass</v>
      </c>
      <c r="K3" s="3" t="s">
        <v>63</v>
      </c>
      <c r="L3" s="3">
        <f>COUNTIF(I2:I51,"fail")</f>
        <v>8</v>
      </c>
    </row>
    <row r="4" spans="1:12" x14ac:dyDescent="0.3">
      <c r="A4" t="s">
        <v>56</v>
      </c>
      <c r="B4">
        <v>93</v>
      </c>
      <c r="C4">
        <v>95</v>
      </c>
      <c r="D4">
        <v>94</v>
      </c>
      <c r="E4">
        <v>96</v>
      </c>
      <c r="F4">
        <f>SUM(Table2[[#This Row],[Tamil]:[Science]])</f>
        <v>378</v>
      </c>
      <c r="G4">
        <f>AVERAGE(B4:E4)</f>
        <v>94.5</v>
      </c>
      <c r="H4" t="str">
        <f>IF(G4&gt;=90,"A",IF(G4&gt;=75,"B",IF(G4&gt;=50,"C","D")))</f>
        <v>A</v>
      </c>
      <c r="I4" t="str">
        <f>IF(MIN(B4:E4)&lt;35,"Fail","Pass")</f>
        <v>Pass</v>
      </c>
    </row>
    <row r="5" spans="1:12" x14ac:dyDescent="0.3">
      <c r="A5" t="s">
        <v>55</v>
      </c>
      <c r="B5">
        <v>71</v>
      </c>
      <c r="C5">
        <v>73</v>
      </c>
      <c r="D5">
        <v>75</v>
      </c>
      <c r="E5">
        <v>72</v>
      </c>
      <c r="F5">
        <f>SUM(Table2[[#This Row],[Tamil]:[Science]])</f>
        <v>291</v>
      </c>
      <c r="G5">
        <f>AVERAGE(B5:E5)</f>
        <v>72.75</v>
      </c>
      <c r="H5" t="str">
        <f>IF(G5&gt;=90,"A",IF(G5&gt;=75,"B",IF(G5&gt;=50,"C","D")))</f>
        <v>C</v>
      </c>
      <c r="I5" t="str">
        <f>IF(MIN(B5:E5)&lt;35,"Fail","Pass")</f>
        <v>Pass</v>
      </c>
    </row>
    <row r="6" spans="1:12" x14ac:dyDescent="0.3">
      <c r="A6" t="s">
        <v>54</v>
      </c>
      <c r="B6">
        <v>87</v>
      </c>
      <c r="C6">
        <v>89</v>
      </c>
      <c r="D6">
        <v>88</v>
      </c>
      <c r="E6">
        <v>90</v>
      </c>
      <c r="F6">
        <f>SUM(Table2[[#This Row],[Tamil]:[Science]])</f>
        <v>354</v>
      </c>
      <c r="G6">
        <f>AVERAGE(B6:E6)</f>
        <v>88.5</v>
      </c>
      <c r="H6" t="str">
        <f>IF(G6&gt;=90,"A",IF(G6&gt;=75,"B",IF(G6&gt;=50,"C","D")))</f>
        <v>B</v>
      </c>
      <c r="I6" t="str">
        <f>IF(MIN(B6:E6)&lt;35,"Fail","Pass")</f>
        <v>Pass</v>
      </c>
    </row>
    <row r="7" spans="1:12" x14ac:dyDescent="0.3">
      <c r="A7" t="s">
        <v>53</v>
      </c>
      <c r="B7">
        <v>56</v>
      </c>
      <c r="C7">
        <v>58</v>
      </c>
      <c r="D7">
        <v>60</v>
      </c>
      <c r="E7">
        <v>57</v>
      </c>
      <c r="F7">
        <f>SUM(Table2[[#This Row],[Tamil]:[Science]])</f>
        <v>231</v>
      </c>
      <c r="G7">
        <f>AVERAGE(B7:E7)</f>
        <v>57.75</v>
      </c>
      <c r="H7" t="str">
        <f>IF(G7&gt;=90,"A",IF(G7&gt;=75,"B",IF(G7&gt;=50,"C","D")))</f>
        <v>C</v>
      </c>
      <c r="I7" t="str">
        <f>IF(MIN(B7:E7)&lt;35,"Fail","Pass")</f>
        <v>Pass</v>
      </c>
    </row>
    <row r="8" spans="1:12" x14ac:dyDescent="0.3">
      <c r="A8" t="s">
        <v>52</v>
      </c>
      <c r="B8">
        <v>80</v>
      </c>
      <c r="C8">
        <v>82</v>
      </c>
      <c r="D8">
        <v>84</v>
      </c>
      <c r="E8">
        <v>83</v>
      </c>
      <c r="F8">
        <f>SUM(Table2[[#This Row],[Tamil]:[Science]])</f>
        <v>329</v>
      </c>
      <c r="G8">
        <f>AVERAGE(B8:E8)</f>
        <v>82.25</v>
      </c>
      <c r="H8" t="str">
        <f>IF(G8&gt;=90,"A",IF(G8&gt;=75,"B",IF(G8&gt;=50,"C","D")))</f>
        <v>B</v>
      </c>
      <c r="I8" t="str">
        <f>IF(MIN(B8:E8)&lt;35,"Fail","Pass")</f>
        <v>Pass</v>
      </c>
    </row>
    <row r="9" spans="1:12" x14ac:dyDescent="0.3">
      <c r="A9" t="s">
        <v>51</v>
      </c>
      <c r="B9">
        <v>68</v>
      </c>
      <c r="C9">
        <v>70</v>
      </c>
      <c r="D9">
        <v>72</v>
      </c>
      <c r="E9">
        <v>69</v>
      </c>
      <c r="F9">
        <f>SUM(Table2[[#This Row],[Tamil]:[Science]])</f>
        <v>279</v>
      </c>
      <c r="G9">
        <f>AVERAGE(B9:E9)</f>
        <v>69.75</v>
      </c>
      <c r="H9" t="str">
        <f>IF(G9&gt;=90,"A",IF(G9&gt;=75,"B",IF(G9&gt;=50,"C","D")))</f>
        <v>C</v>
      </c>
      <c r="I9" t="str">
        <f>IF(MIN(B9:E9)&lt;35,"Fail","Pass")</f>
        <v>Pass</v>
      </c>
    </row>
    <row r="10" spans="1:12" x14ac:dyDescent="0.3">
      <c r="A10" t="s">
        <v>50</v>
      </c>
      <c r="B10">
        <v>92</v>
      </c>
      <c r="C10">
        <v>90</v>
      </c>
      <c r="D10">
        <v>93</v>
      </c>
      <c r="E10">
        <v>91</v>
      </c>
      <c r="F10">
        <f>SUM(Table2[[#This Row],[Tamil]:[Science]])</f>
        <v>366</v>
      </c>
      <c r="G10">
        <f>AVERAGE(B10:E10)</f>
        <v>91.5</v>
      </c>
      <c r="H10" t="str">
        <f>IF(G10&gt;=90,"A",IF(G10&gt;=75,"B",IF(G10&gt;=50,"C","D")))</f>
        <v>A</v>
      </c>
      <c r="I10" t="str">
        <f>IF(MIN(B10:E10)&lt;35,"Fail","Pass")</f>
        <v>Pass</v>
      </c>
    </row>
    <row r="11" spans="1:12" x14ac:dyDescent="0.3">
      <c r="A11" t="s">
        <v>48</v>
      </c>
      <c r="B11">
        <v>34</v>
      </c>
      <c r="C11">
        <v>33</v>
      </c>
      <c r="D11">
        <v>39</v>
      </c>
      <c r="E11">
        <v>31</v>
      </c>
      <c r="F11">
        <f>SUM(Table2[[#This Row],[Tamil]:[Science]])</f>
        <v>137</v>
      </c>
      <c r="G11">
        <f>AVERAGE(B11:E11)</f>
        <v>34.25</v>
      </c>
      <c r="H11" t="str">
        <f>IF(G11&gt;=90,"A",IF(G11&gt;=75,"B",IF(G11&gt;=50,"C","D")))</f>
        <v>D</v>
      </c>
      <c r="I11" t="str">
        <f>IF(MIN(B11:E11)&lt;35,"Fail","Pass")</f>
        <v>Fail</v>
      </c>
    </row>
    <row r="12" spans="1:12" x14ac:dyDescent="0.3">
      <c r="A12" t="s">
        <v>49</v>
      </c>
      <c r="B12">
        <v>61</v>
      </c>
      <c r="C12">
        <v>63</v>
      </c>
      <c r="D12">
        <v>65</v>
      </c>
      <c r="E12">
        <v>62</v>
      </c>
      <c r="F12">
        <f>SUM(Table2[[#This Row],[Tamil]:[Science]])</f>
        <v>251</v>
      </c>
      <c r="G12">
        <f>AVERAGE(B12:E12)</f>
        <v>62.75</v>
      </c>
      <c r="H12" t="str">
        <f>IF(G12&gt;=90,"A",IF(G12&gt;=75,"B",IF(G12&gt;=50,"C","D")))</f>
        <v>C</v>
      </c>
      <c r="I12" t="str">
        <f>IF(MIN(B12:E12)&lt;35,"Fail","Pass")</f>
        <v>Pass</v>
      </c>
    </row>
    <row r="13" spans="1:12" x14ac:dyDescent="0.3">
      <c r="A13" t="s">
        <v>47</v>
      </c>
      <c r="B13">
        <v>53</v>
      </c>
      <c r="C13">
        <v>55</v>
      </c>
      <c r="D13">
        <v>50</v>
      </c>
      <c r="E13">
        <v>52</v>
      </c>
      <c r="F13">
        <f>SUM(Table2[[#This Row],[Tamil]:[Science]])</f>
        <v>210</v>
      </c>
      <c r="G13">
        <f>AVERAGE(B13:E13)</f>
        <v>52.5</v>
      </c>
      <c r="H13" t="str">
        <f>IF(G13&gt;=90,"A",IF(G13&gt;=75,"B",IF(G13&gt;=50,"C","D")))</f>
        <v>C</v>
      </c>
      <c r="I13" t="str">
        <f>IF(MIN(B13:E13)&lt;35,"Fail","Pass")</f>
        <v>Pass</v>
      </c>
    </row>
    <row r="14" spans="1:12" x14ac:dyDescent="0.3">
      <c r="A14" t="s">
        <v>46</v>
      </c>
      <c r="B14">
        <v>94</v>
      </c>
      <c r="C14">
        <v>92</v>
      </c>
      <c r="D14">
        <v>96</v>
      </c>
      <c r="E14">
        <v>95</v>
      </c>
      <c r="F14">
        <f>SUM(Table2[[#This Row],[Tamil]:[Science]])</f>
        <v>377</v>
      </c>
      <c r="G14">
        <f>AVERAGE(B14:E14)</f>
        <v>94.25</v>
      </c>
      <c r="H14" t="str">
        <f>IF(G14&gt;=90,"A",IF(G14&gt;=75,"B",IF(G14&gt;=50,"C","D")))</f>
        <v>A</v>
      </c>
      <c r="I14" t="str">
        <f>IF(MIN(B14:E14)&lt;35,"Fail","Pass")</f>
        <v>Pass</v>
      </c>
    </row>
    <row r="15" spans="1:12" x14ac:dyDescent="0.3">
      <c r="A15" t="s">
        <v>44</v>
      </c>
      <c r="B15">
        <v>33</v>
      </c>
      <c r="C15">
        <v>35</v>
      </c>
      <c r="D15">
        <v>37</v>
      </c>
      <c r="E15">
        <v>40</v>
      </c>
      <c r="F15">
        <f>SUM(Table2[[#This Row],[Tamil]:[Science]])</f>
        <v>145</v>
      </c>
      <c r="G15">
        <f>AVERAGE(B15:E15)</f>
        <v>36.25</v>
      </c>
      <c r="H15" t="str">
        <f>IF(G15&gt;=90,"A",IF(G15&gt;=75,"B",IF(G15&gt;=50,"C","D")))</f>
        <v>D</v>
      </c>
      <c r="I15" t="str">
        <f>IF(MIN(B15:E15)&lt;35,"Fail","Pass")</f>
        <v>Fail</v>
      </c>
    </row>
    <row r="16" spans="1:12" x14ac:dyDescent="0.3">
      <c r="A16" t="s">
        <v>45</v>
      </c>
      <c r="B16">
        <v>72</v>
      </c>
      <c r="C16">
        <v>74</v>
      </c>
      <c r="D16">
        <v>73</v>
      </c>
      <c r="E16">
        <v>75</v>
      </c>
      <c r="F16">
        <f>SUM(Table2[[#This Row],[Tamil]:[Science]])</f>
        <v>294</v>
      </c>
      <c r="G16">
        <f>AVERAGE(B16:E16)</f>
        <v>73.5</v>
      </c>
      <c r="H16" t="str">
        <f>IF(G16&gt;=90,"A",IF(G16&gt;=75,"B",IF(G16&gt;=50,"C","D")))</f>
        <v>C</v>
      </c>
      <c r="I16" t="str">
        <f>IF(MIN(B16:E16)&lt;35,"Fail","Pass")</f>
        <v>Pass</v>
      </c>
    </row>
    <row r="17" spans="1:9" x14ac:dyDescent="0.3">
      <c r="A17" t="s">
        <v>43</v>
      </c>
      <c r="B17">
        <v>90</v>
      </c>
      <c r="C17">
        <v>88</v>
      </c>
      <c r="D17">
        <v>91</v>
      </c>
      <c r="E17">
        <v>89</v>
      </c>
      <c r="F17">
        <f>SUM(Table2[[#This Row],[Tamil]:[Science]])</f>
        <v>358</v>
      </c>
      <c r="G17">
        <f>AVERAGE(B17:E17)</f>
        <v>89.5</v>
      </c>
      <c r="H17" t="str">
        <f>IF(G17&gt;=90,"A",IF(G17&gt;=75,"B",IF(G17&gt;=50,"C","D")))</f>
        <v>B</v>
      </c>
      <c r="I17" t="str">
        <f>IF(MIN(B17:E17)&lt;35,"Fail","Pass")</f>
        <v>Pass</v>
      </c>
    </row>
    <row r="18" spans="1:9" x14ac:dyDescent="0.3">
      <c r="A18" t="s">
        <v>42</v>
      </c>
      <c r="B18">
        <v>59</v>
      </c>
      <c r="C18">
        <v>62</v>
      </c>
      <c r="D18">
        <v>58</v>
      </c>
      <c r="E18">
        <v>60</v>
      </c>
      <c r="F18">
        <f>SUM(Table2[[#This Row],[Tamil]:[Science]])</f>
        <v>239</v>
      </c>
      <c r="G18">
        <f>AVERAGE(B18:E18)</f>
        <v>59.75</v>
      </c>
      <c r="H18" t="str">
        <f>IF(G18&gt;=90,"A",IF(G18&gt;=75,"B",IF(G18&gt;=50,"C","D")))</f>
        <v>C</v>
      </c>
      <c r="I18" t="str">
        <f>IF(MIN(B18:E18)&lt;35,"Fail","Pass")</f>
        <v>Pass</v>
      </c>
    </row>
    <row r="19" spans="1:9" x14ac:dyDescent="0.3">
      <c r="A19" t="s">
        <v>41</v>
      </c>
      <c r="B19">
        <v>83</v>
      </c>
      <c r="C19">
        <v>81</v>
      </c>
      <c r="D19">
        <v>85</v>
      </c>
      <c r="E19">
        <v>84</v>
      </c>
      <c r="F19">
        <f>SUM(Table2[[#This Row],[Tamil]:[Science]])</f>
        <v>333</v>
      </c>
      <c r="G19">
        <f>AVERAGE(B19:E19)</f>
        <v>83.25</v>
      </c>
      <c r="H19" t="str">
        <f>IF(G19&gt;=90,"A",IF(G19&gt;=75,"B",IF(G19&gt;=50,"C","D")))</f>
        <v>B</v>
      </c>
      <c r="I19" t="str">
        <f>IF(MIN(B19:E19)&lt;35,"Fail","Pass")</f>
        <v>Pass</v>
      </c>
    </row>
    <row r="20" spans="1:9" x14ac:dyDescent="0.3">
      <c r="A20" t="s">
        <v>40</v>
      </c>
      <c r="B20">
        <v>74</v>
      </c>
      <c r="C20">
        <v>76</v>
      </c>
      <c r="D20">
        <v>75</v>
      </c>
      <c r="E20">
        <v>73</v>
      </c>
      <c r="F20">
        <f>SUM(Table2[[#This Row],[Tamil]:[Science]])</f>
        <v>298</v>
      </c>
      <c r="G20">
        <f>AVERAGE(B20:E20)</f>
        <v>74.5</v>
      </c>
      <c r="H20" t="str">
        <f>IF(G20&gt;=90,"A",IF(G20&gt;=75,"B",IF(G20&gt;=50,"C","D")))</f>
        <v>C</v>
      </c>
      <c r="I20" t="str">
        <f>IF(MIN(B20:E20)&lt;35,"Fail","Pass")</f>
        <v>Pass</v>
      </c>
    </row>
    <row r="21" spans="1:9" x14ac:dyDescent="0.3">
      <c r="A21" t="s">
        <v>39</v>
      </c>
      <c r="B21">
        <v>91</v>
      </c>
      <c r="C21">
        <v>93</v>
      </c>
      <c r="D21">
        <v>92</v>
      </c>
      <c r="E21">
        <v>94</v>
      </c>
      <c r="F21">
        <f>SUM(Table2[[#This Row],[Tamil]:[Science]])</f>
        <v>370</v>
      </c>
      <c r="G21">
        <f>AVERAGE(B21:E21)</f>
        <v>92.5</v>
      </c>
      <c r="H21" t="str">
        <f>IF(G21&gt;=90,"A",IF(G21&gt;=75,"B",IF(G21&gt;=50,"C","D")))</f>
        <v>A</v>
      </c>
      <c r="I21" t="str">
        <f>IF(MIN(B21:E21)&lt;35,"Fail","Pass")</f>
        <v>Pass</v>
      </c>
    </row>
    <row r="22" spans="1:9" x14ac:dyDescent="0.3">
      <c r="A22" t="s">
        <v>38</v>
      </c>
      <c r="B22">
        <v>57</v>
      </c>
      <c r="C22">
        <v>55</v>
      </c>
      <c r="D22">
        <v>60</v>
      </c>
      <c r="E22">
        <v>58</v>
      </c>
      <c r="F22">
        <f>SUM(Table2[[#This Row],[Tamil]:[Science]])</f>
        <v>230</v>
      </c>
      <c r="G22">
        <f>AVERAGE(B22:E22)</f>
        <v>57.5</v>
      </c>
      <c r="H22" t="str">
        <f>IF(G22&gt;=90,"A",IF(G22&gt;=75,"B",IF(G22&gt;=50,"C","D")))</f>
        <v>C</v>
      </c>
      <c r="I22" t="str">
        <f>IF(MIN(B22:E22)&lt;35,"Fail","Pass")</f>
        <v>Pass</v>
      </c>
    </row>
    <row r="23" spans="1:9" x14ac:dyDescent="0.3">
      <c r="A23" t="s">
        <v>37</v>
      </c>
      <c r="B23">
        <v>88</v>
      </c>
      <c r="C23">
        <v>86</v>
      </c>
      <c r="D23">
        <v>89</v>
      </c>
      <c r="E23">
        <v>87</v>
      </c>
      <c r="F23">
        <f>SUM(Table2[[#This Row],[Tamil]:[Science]])</f>
        <v>350</v>
      </c>
      <c r="G23">
        <f>AVERAGE(B23:E23)</f>
        <v>87.5</v>
      </c>
      <c r="H23" t="str">
        <f>IF(G23&gt;=90,"A",IF(G23&gt;=75,"B",IF(G23&gt;=50,"C","D")))</f>
        <v>B</v>
      </c>
      <c r="I23" t="str">
        <f>IF(MIN(B23:E23)&lt;35,"Fail","Pass")</f>
        <v>Pass</v>
      </c>
    </row>
    <row r="24" spans="1:9" x14ac:dyDescent="0.3">
      <c r="A24" t="s">
        <v>36</v>
      </c>
      <c r="B24">
        <v>69</v>
      </c>
      <c r="C24">
        <v>72</v>
      </c>
      <c r="D24">
        <v>70</v>
      </c>
      <c r="E24">
        <v>68</v>
      </c>
      <c r="F24">
        <f>SUM(Table2[[#This Row],[Tamil]:[Science]])</f>
        <v>279</v>
      </c>
      <c r="G24">
        <f>AVERAGE(B24:E24)</f>
        <v>69.75</v>
      </c>
      <c r="H24" t="str">
        <f>IF(G24&gt;=90,"A",IF(G24&gt;=75,"B",IF(G24&gt;=50,"C","D")))</f>
        <v>C</v>
      </c>
      <c r="I24" t="str">
        <f>IF(MIN(B24:E24)&lt;35,"Fail","Pass")</f>
        <v>Pass</v>
      </c>
    </row>
    <row r="25" spans="1:9" x14ac:dyDescent="0.3">
      <c r="A25" t="s">
        <v>35</v>
      </c>
      <c r="B25">
        <v>84</v>
      </c>
      <c r="C25">
        <v>82</v>
      </c>
      <c r="D25">
        <v>86</v>
      </c>
      <c r="E25">
        <v>88</v>
      </c>
      <c r="F25">
        <f>SUM(Table2[[#This Row],[Tamil]:[Science]])</f>
        <v>340</v>
      </c>
      <c r="G25">
        <f>AVERAGE(B25:E25)</f>
        <v>85</v>
      </c>
      <c r="H25" t="str">
        <f>IF(G25&gt;=90,"A",IF(G25&gt;=75,"B",IF(G25&gt;=50,"C","D")))</f>
        <v>B</v>
      </c>
      <c r="I25" t="str">
        <f>IF(MIN(B25:E25)&lt;35,"Fail","Pass")</f>
        <v>Pass</v>
      </c>
    </row>
    <row r="26" spans="1:9" x14ac:dyDescent="0.3">
      <c r="A26" t="s">
        <v>34</v>
      </c>
      <c r="B26">
        <v>48</v>
      </c>
      <c r="C26">
        <v>50</v>
      </c>
      <c r="D26">
        <v>45</v>
      </c>
      <c r="E26">
        <v>52</v>
      </c>
      <c r="F26">
        <f>SUM(Table2[[#This Row],[Tamil]:[Science]])</f>
        <v>195</v>
      </c>
      <c r="G26">
        <f>AVERAGE(B26:E26)</f>
        <v>48.75</v>
      </c>
      <c r="H26" t="str">
        <f>IF(G26&gt;=90,"A",IF(G26&gt;=75,"B",IF(G26&gt;=50,"C","D")))</f>
        <v>D</v>
      </c>
      <c r="I26" t="str">
        <f>IF(MIN(B26:E26)&lt;35,"Fail","Pass")</f>
        <v>Pass</v>
      </c>
    </row>
    <row r="27" spans="1:9" x14ac:dyDescent="0.3">
      <c r="A27" t="s">
        <v>32</v>
      </c>
      <c r="B27">
        <v>30</v>
      </c>
      <c r="C27">
        <v>35</v>
      </c>
      <c r="D27">
        <v>39</v>
      </c>
      <c r="E27">
        <v>40</v>
      </c>
      <c r="F27">
        <f>SUM(Table2[[#This Row],[Tamil]:[Science]])</f>
        <v>144</v>
      </c>
      <c r="G27">
        <f>AVERAGE(B27:E27)</f>
        <v>36</v>
      </c>
      <c r="H27" t="str">
        <f>IF(G27&gt;=90,"A",IF(G27&gt;=75,"B",IF(G27&gt;=50,"C","D")))</f>
        <v>D</v>
      </c>
      <c r="I27" t="str">
        <f>IF(MIN(B27:E27)&lt;35,"Fail","Pass")</f>
        <v>Fail</v>
      </c>
    </row>
    <row r="28" spans="1:9" x14ac:dyDescent="0.3">
      <c r="A28" t="s">
        <v>33</v>
      </c>
      <c r="B28">
        <v>93</v>
      </c>
      <c r="C28">
        <v>90</v>
      </c>
      <c r="D28">
        <v>95</v>
      </c>
      <c r="E28">
        <v>94</v>
      </c>
      <c r="F28">
        <f>SUM(Table2[[#This Row],[Tamil]:[Science]])</f>
        <v>372</v>
      </c>
      <c r="G28">
        <f>AVERAGE(B28:E28)</f>
        <v>93</v>
      </c>
      <c r="H28" t="str">
        <f>IF(G28&gt;=90,"A",IF(G28&gt;=75,"B",IF(G28&gt;=50,"C","D")))</f>
        <v>A</v>
      </c>
      <c r="I28" t="str">
        <f>IF(MIN(B28:E28)&lt;35,"Fail","Pass")</f>
        <v>Pass</v>
      </c>
    </row>
    <row r="29" spans="1:9" x14ac:dyDescent="0.3">
      <c r="A29" t="s">
        <v>31</v>
      </c>
      <c r="B29">
        <v>77</v>
      </c>
      <c r="C29">
        <v>79</v>
      </c>
      <c r="D29">
        <v>81</v>
      </c>
      <c r="E29">
        <v>80</v>
      </c>
      <c r="F29">
        <f>SUM(Table2[[#This Row],[Tamil]:[Science]])</f>
        <v>317</v>
      </c>
      <c r="G29">
        <f>AVERAGE(B29:E29)</f>
        <v>79.25</v>
      </c>
      <c r="H29" t="str">
        <f>IF(G29&gt;=90,"A",IF(G29&gt;=75,"B",IF(G29&gt;=50,"C","D")))</f>
        <v>B</v>
      </c>
      <c r="I29" t="str">
        <f>IF(MIN(B29:E29)&lt;35,"Fail","Pass")</f>
        <v>Pass</v>
      </c>
    </row>
    <row r="30" spans="1:9" x14ac:dyDescent="0.3">
      <c r="A30" t="s">
        <v>30</v>
      </c>
      <c r="B30">
        <v>54</v>
      </c>
      <c r="C30">
        <v>56</v>
      </c>
      <c r="D30">
        <v>52</v>
      </c>
      <c r="E30">
        <v>58</v>
      </c>
      <c r="F30">
        <f>SUM(Table2[[#This Row],[Tamil]:[Science]])</f>
        <v>220</v>
      </c>
      <c r="G30">
        <f>AVERAGE(B30:E30)</f>
        <v>55</v>
      </c>
      <c r="H30" t="str">
        <f>IF(G30&gt;=90,"A",IF(G30&gt;=75,"B",IF(G30&gt;=50,"C","D")))</f>
        <v>C</v>
      </c>
      <c r="I30" t="str">
        <f>IF(MIN(B30:E30)&lt;35,"Fail","Pass")</f>
        <v>Pass</v>
      </c>
    </row>
    <row r="31" spans="1:9" x14ac:dyDescent="0.3">
      <c r="A31" t="s">
        <v>28</v>
      </c>
      <c r="B31">
        <v>41</v>
      </c>
      <c r="C31">
        <v>44</v>
      </c>
      <c r="D31">
        <v>35</v>
      </c>
      <c r="E31">
        <v>31</v>
      </c>
      <c r="F31">
        <f>SUM(Table2[[#This Row],[Tamil]:[Science]])</f>
        <v>151</v>
      </c>
      <c r="G31">
        <f>AVERAGE(B31:E31)</f>
        <v>37.75</v>
      </c>
      <c r="H31" t="str">
        <f>IF(G31&gt;=90,"A",IF(G31&gt;=75,"B",IF(G31&gt;=50,"C","D")))</f>
        <v>D</v>
      </c>
      <c r="I31" t="str">
        <f>IF(MIN(B31:E31)&lt;35,"Fail","Pass")</f>
        <v>Fail</v>
      </c>
    </row>
    <row r="32" spans="1:9" x14ac:dyDescent="0.3">
      <c r="A32" t="s">
        <v>29</v>
      </c>
      <c r="B32">
        <v>89</v>
      </c>
      <c r="C32">
        <v>91</v>
      </c>
      <c r="D32">
        <v>90</v>
      </c>
      <c r="E32">
        <v>92</v>
      </c>
      <c r="F32">
        <f>SUM(Table2[[#This Row],[Tamil]:[Science]])</f>
        <v>362</v>
      </c>
      <c r="G32">
        <f>AVERAGE(B32:E32)</f>
        <v>90.5</v>
      </c>
      <c r="H32" t="str">
        <f>IF(G32&gt;=90,"A",IF(G32&gt;=75,"B",IF(G32&gt;=50,"C","D")))</f>
        <v>A</v>
      </c>
      <c r="I32" t="str">
        <f>IF(MIN(B32:E32)&lt;35,"Fail","Pass")</f>
        <v>Pass</v>
      </c>
    </row>
    <row r="33" spans="1:9" x14ac:dyDescent="0.3">
      <c r="A33" t="s">
        <v>26</v>
      </c>
      <c r="B33">
        <v>39</v>
      </c>
      <c r="C33">
        <v>35</v>
      </c>
      <c r="D33">
        <v>35</v>
      </c>
      <c r="E33">
        <v>34</v>
      </c>
      <c r="F33">
        <f>SUM(Table2[[#This Row],[Tamil]:[Science]])</f>
        <v>143</v>
      </c>
      <c r="G33">
        <f>AVERAGE(B33:E33)</f>
        <v>35.75</v>
      </c>
      <c r="H33" t="str">
        <f>IF(G33&gt;=90,"A",IF(G33&gt;=75,"B",IF(G33&gt;=50,"C","D")))</f>
        <v>D</v>
      </c>
      <c r="I33" t="str">
        <f>IF(MIN(B33:E33)&lt;35,"Fail","Pass")</f>
        <v>Fail</v>
      </c>
    </row>
    <row r="34" spans="1:9" x14ac:dyDescent="0.3">
      <c r="A34" t="s">
        <v>27</v>
      </c>
      <c r="B34">
        <v>87</v>
      </c>
      <c r="C34">
        <v>85</v>
      </c>
      <c r="D34">
        <v>88</v>
      </c>
      <c r="E34">
        <v>86</v>
      </c>
      <c r="F34">
        <f>SUM(Table2[[#This Row],[Tamil]:[Science]])</f>
        <v>346</v>
      </c>
      <c r="G34">
        <f>AVERAGE(B34:E34)</f>
        <v>86.5</v>
      </c>
      <c r="H34" t="str">
        <f>IF(G34&gt;=90,"A",IF(G34&gt;=75,"B",IF(G34&gt;=50,"C","D")))</f>
        <v>B</v>
      </c>
      <c r="I34" t="str">
        <f>IF(MIN(B34:E34)&lt;35,"Fail","Pass")</f>
        <v>Pass</v>
      </c>
    </row>
    <row r="35" spans="1:9" x14ac:dyDescent="0.3">
      <c r="A35" t="s">
        <v>25</v>
      </c>
      <c r="B35">
        <v>92</v>
      </c>
      <c r="C35">
        <v>95</v>
      </c>
      <c r="D35">
        <v>93</v>
      </c>
      <c r="E35">
        <v>94</v>
      </c>
      <c r="F35">
        <f>SUM(Table2[[#This Row],[Tamil]:[Science]])</f>
        <v>374</v>
      </c>
      <c r="G35">
        <f>AVERAGE(B35:E35)</f>
        <v>93.5</v>
      </c>
      <c r="H35" t="str">
        <f>IF(G35&gt;=90,"A",IF(G35&gt;=75,"B",IF(G35&gt;=50,"C","D")))</f>
        <v>A</v>
      </c>
      <c r="I35" t="str">
        <f>IF(MIN(B35:E35)&lt;35,"Fail","Pass")</f>
        <v>Pass</v>
      </c>
    </row>
    <row r="36" spans="1:9" x14ac:dyDescent="0.3">
      <c r="A36" t="s">
        <v>24</v>
      </c>
      <c r="B36">
        <v>66</v>
      </c>
      <c r="C36">
        <v>64</v>
      </c>
      <c r="D36">
        <v>70</v>
      </c>
      <c r="E36">
        <v>68</v>
      </c>
      <c r="F36">
        <f>SUM(Table2[[#This Row],[Tamil]:[Science]])</f>
        <v>268</v>
      </c>
      <c r="G36">
        <f>AVERAGE(B36:E36)</f>
        <v>67</v>
      </c>
      <c r="H36" t="str">
        <f>IF(G36&gt;=90,"A",IF(G36&gt;=75,"B",IF(G36&gt;=50,"C","D")))</f>
        <v>C</v>
      </c>
      <c r="I36" t="str">
        <f>IF(MIN(B36:E36)&lt;35,"Fail","Pass")</f>
        <v>Pass</v>
      </c>
    </row>
    <row r="37" spans="1:9" x14ac:dyDescent="0.3">
      <c r="A37" t="s">
        <v>23</v>
      </c>
      <c r="B37">
        <v>78</v>
      </c>
      <c r="C37">
        <v>76</v>
      </c>
      <c r="D37">
        <v>80</v>
      </c>
      <c r="E37">
        <v>79</v>
      </c>
      <c r="F37">
        <f>SUM(Table2[[#This Row],[Tamil]:[Science]])</f>
        <v>313</v>
      </c>
      <c r="G37">
        <f>AVERAGE(B37:E37)</f>
        <v>78.25</v>
      </c>
      <c r="H37" t="str">
        <f>IF(G37&gt;=90,"A",IF(G37&gt;=75,"B",IF(G37&gt;=50,"C","D")))</f>
        <v>B</v>
      </c>
      <c r="I37" t="str">
        <f>IF(MIN(B37:E37)&lt;35,"Fail","Pass")</f>
        <v>Pass</v>
      </c>
    </row>
    <row r="38" spans="1:9" x14ac:dyDescent="0.3">
      <c r="A38" t="s">
        <v>22</v>
      </c>
      <c r="B38">
        <v>45</v>
      </c>
      <c r="C38">
        <v>50</v>
      </c>
      <c r="D38">
        <v>42</v>
      </c>
      <c r="E38">
        <v>48</v>
      </c>
      <c r="F38">
        <f>SUM(Table2[[#This Row],[Tamil]:[Science]])</f>
        <v>185</v>
      </c>
      <c r="G38">
        <f>AVERAGE(B38:E38)</f>
        <v>46.25</v>
      </c>
      <c r="H38" t="str">
        <f>IF(G38&gt;=90,"A",IF(G38&gt;=75,"B",IF(G38&gt;=50,"C","D")))</f>
        <v>D</v>
      </c>
      <c r="I38" t="str">
        <f>IF(MIN(B38:E38)&lt;35,"Fail","Pass")</f>
        <v>Pass</v>
      </c>
    </row>
    <row r="39" spans="1:9" x14ac:dyDescent="0.3">
      <c r="A39" t="s">
        <v>20</v>
      </c>
      <c r="B39">
        <v>40</v>
      </c>
      <c r="C39">
        <v>33</v>
      </c>
      <c r="D39">
        <v>34</v>
      </c>
      <c r="E39">
        <v>39</v>
      </c>
      <c r="F39">
        <f>SUM(Table2[[#This Row],[Tamil]:[Science]])</f>
        <v>146</v>
      </c>
      <c r="G39">
        <f>AVERAGE(B39:E39)</f>
        <v>36.5</v>
      </c>
      <c r="H39" t="str">
        <f>IF(G39&gt;=90,"A",IF(G39&gt;=75,"B",IF(G39&gt;=50,"C","D")))</f>
        <v>D</v>
      </c>
      <c r="I39" t="str">
        <f>IF(MIN(B39:E39)&lt;35,"Fail","Pass")</f>
        <v>Fail</v>
      </c>
    </row>
    <row r="40" spans="1:9" x14ac:dyDescent="0.3">
      <c r="A40" t="s">
        <v>21</v>
      </c>
      <c r="B40">
        <v>91</v>
      </c>
      <c r="C40">
        <v>89</v>
      </c>
      <c r="D40">
        <v>94</v>
      </c>
      <c r="E40">
        <v>90</v>
      </c>
      <c r="F40">
        <f>SUM(Table2[[#This Row],[Tamil]:[Science]])</f>
        <v>364</v>
      </c>
      <c r="G40">
        <f>AVERAGE(B40:E40)</f>
        <v>91</v>
      </c>
      <c r="H40" t="str">
        <f>IF(G40&gt;=90,"A",IF(G40&gt;=75,"B",IF(G40&gt;=50,"C","D")))</f>
        <v>A</v>
      </c>
      <c r="I40" t="str">
        <f>IF(MIN(B40:E40)&lt;35,"Fail","Pass")</f>
        <v>Pass</v>
      </c>
    </row>
    <row r="41" spans="1:9" x14ac:dyDescent="0.3">
      <c r="A41" t="s">
        <v>19</v>
      </c>
      <c r="B41">
        <v>82</v>
      </c>
      <c r="C41">
        <v>79</v>
      </c>
      <c r="D41">
        <v>85</v>
      </c>
      <c r="E41">
        <v>88</v>
      </c>
      <c r="F41">
        <f>SUM(Table2[[#This Row],[Tamil]:[Science]])</f>
        <v>334</v>
      </c>
      <c r="G41">
        <f>AVERAGE(B41:E41)</f>
        <v>83.5</v>
      </c>
      <c r="H41" t="str">
        <f>IF(G41&gt;=90,"A",IF(G41&gt;=75,"B",IF(G41&gt;=50,"C","D")))</f>
        <v>B</v>
      </c>
      <c r="I41" t="str">
        <f>IF(MIN(B41:E41)&lt;35,"Fail","Pass")</f>
        <v>Pass</v>
      </c>
    </row>
    <row r="42" spans="1:9" x14ac:dyDescent="0.3">
      <c r="A42" t="s">
        <v>18</v>
      </c>
      <c r="B42">
        <v>50</v>
      </c>
      <c r="C42">
        <v>52</v>
      </c>
      <c r="D42">
        <v>48</v>
      </c>
      <c r="E42">
        <v>55</v>
      </c>
      <c r="F42">
        <f>SUM(Table2[[#This Row],[Tamil]:[Science]])</f>
        <v>205</v>
      </c>
      <c r="G42">
        <f>AVERAGE(B42:E42)</f>
        <v>51.25</v>
      </c>
      <c r="H42" t="str">
        <f>IF(G42&gt;=90,"A",IF(G42&gt;=75,"B",IF(G42&gt;=50,"C","D")))</f>
        <v>C</v>
      </c>
      <c r="I42" t="str">
        <f>IF(MIN(B42:E42)&lt;35,"Fail","Pass")</f>
        <v>Pass</v>
      </c>
    </row>
    <row r="43" spans="1:9" x14ac:dyDescent="0.3">
      <c r="A43" t="s">
        <v>17</v>
      </c>
      <c r="B43">
        <v>95</v>
      </c>
      <c r="C43">
        <v>94</v>
      </c>
      <c r="D43">
        <v>96</v>
      </c>
      <c r="E43">
        <v>93</v>
      </c>
      <c r="F43">
        <f>SUM(Table2[[#This Row],[Tamil]:[Science]])</f>
        <v>378</v>
      </c>
      <c r="G43">
        <f>AVERAGE(B43:E43)</f>
        <v>94.5</v>
      </c>
      <c r="H43" t="str">
        <f>IF(G43&gt;=90,"A",IF(G43&gt;=75,"B",IF(G43&gt;=50,"C","D")))</f>
        <v>A</v>
      </c>
      <c r="I43" t="str">
        <f>IF(MIN(B43:E43)&lt;35,"Fail","Pass")</f>
        <v>Pass</v>
      </c>
    </row>
    <row r="44" spans="1:9" x14ac:dyDescent="0.3">
      <c r="A44" t="s">
        <v>16</v>
      </c>
      <c r="B44">
        <v>70</v>
      </c>
      <c r="C44">
        <v>68</v>
      </c>
      <c r="D44">
        <v>72</v>
      </c>
      <c r="E44">
        <v>74</v>
      </c>
      <c r="F44">
        <f>SUM(Table2[[#This Row],[Tamil]:[Science]])</f>
        <v>284</v>
      </c>
      <c r="G44">
        <f>AVERAGE(B44:E44)</f>
        <v>71</v>
      </c>
      <c r="H44" t="str">
        <f>IF(G44&gt;=90,"A",IF(G44&gt;=75,"B",IF(G44&gt;=50,"C","D")))</f>
        <v>C</v>
      </c>
      <c r="I44" t="str">
        <f>IF(MIN(B44:E44)&lt;35,"Fail","Pass")</f>
        <v>Pass</v>
      </c>
    </row>
    <row r="45" spans="1:9" x14ac:dyDescent="0.3">
      <c r="A45" t="s">
        <v>15</v>
      </c>
      <c r="B45">
        <v>88</v>
      </c>
      <c r="C45">
        <v>92</v>
      </c>
      <c r="D45">
        <v>85</v>
      </c>
      <c r="E45">
        <v>90</v>
      </c>
      <c r="F45">
        <f>SUM(Table2[[#This Row],[Tamil]:[Science]])</f>
        <v>355</v>
      </c>
      <c r="G45">
        <f>AVERAGE(B45:E45)</f>
        <v>88.75</v>
      </c>
      <c r="H45" t="str">
        <f>IF(G45&gt;=90,"A",IF(G45&gt;=75,"B",IF(G45&gt;=50,"C","D")))</f>
        <v>B</v>
      </c>
      <c r="I45" t="str">
        <f>IF(MIN(B45:E45)&lt;35,"Fail","Pass")</f>
        <v>Pass</v>
      </c>
    </row>
    <row r="46" spans="1:9" x14ac:dyDescent="0.3">
      <c r="A46" t="s">
        <v>14</v>
      </c>
      <c r="B46">
        <v>55</v>
      </c>
      <c r="C46">
        <v>60</v>
      </c>
      <c r="D46">
        <v>58</v>
      </c>
      <c r="E46">
        <v>62</v>
      </c>
      <c r="F46">
        <f>SUM(Table2[[#This Row],[Tamil]:[Science]])</f>
        <v>235</v>
      </c>
      <c r="G46">
        <f>AVERAGE(B46:E46)</f>
        <v>58.75</v>
      </c>
      <c r="H46" t="str">
        <f>IF(G46&gt;=90,"A",IF(G46&gt;=75,"B",IF(G46&gt;=50,"C","D")))</f>
        <v>C</v>
      </c>
      <c r="I46" t="str">
        <f>IF(MIN(B46:E46)&lt;35,"Fail","Pass")</f>
        <v>Pass</v>
      </c>
    </row>
    <row r="47" spans="1:9" x14ac:dyDescent="0.3">
      <c r="A47" t="s">
        <v>12</v>
      </c>
      <c r="B47">
        <v>35</v>
      </c>
      <c r="C47">
        <v>35</v>
      </c>
      <c r="D47">
        <v>35</v>
      </c>
      <c r="E47">
        <v>30</v>
      </c>
      <c r="F47">
        <f>SUM(Table2[[#This Row],[Tamil]:[Science]])</f>
        <v>135</v>
      </c>
      <c r="G47">
        <f>AVERAGE(B47:E47)</f>
        <v>33.75</v>
      </c>
      <c r="H47" t="str">
        <f>IF(G47&gt;=90,"A",IF(G47&gt;=75,"B",IF(G47&gt;=50,"C","D")))</f>
        <v>D</v>
      </c>
      <c r="I47" t="str">
        <f>IF(MIN(B47:E47)&lt;35,"Fail","Pass")</f>
        <v>Fail</v>
      </c>
    </row>
    <row r="48" spans="1:9" x14ac:dyDescent="0.3">
      <c r="A48" t="s">
        <v>13</v>
      </c>
      <c r="B48">
        <v>75</v>
      </c>
      <c r="C48">
        <v>80</v>
      </c>
      <c r="D48">
        <v>78</v>
      </c>
      <c r="E48">
        <v>82</v>
      </c>
      <c r="F48">
        <f>SUM(Table2[[#This Row],[Tamil]:[Science]])</f>
        <v>315</v>
      </c>
      <c r="G48">
        <f>AVERAGE(B48:E48)</f>
        <v>78.75</v>
      </c>
      <c r="H48" t="str">
        <f>IF(G48&gt;=90,"A",IF(G48&gt;=75,"B",IF(G48&gt;=50,"C","D")))</f>
        <v>B</v>
      </c>
      <c r="I48" t="str">
        <f>IF(MIN(B48:E48)&lt;35,"Fail","Pass")</f>
        <v>Pass</v>
      </c>
    </row>
    <row r="49" spans="1:9" x14ac:dyDescent="0.3">
      <c r="A49" t="s">
        <v>11</v>
      </c>
      <c r="B49">
        <v>40</v>
      </c>
      <c r="C49">
        <v>45</v>
      </c>
      <c r="D49">
        <v>35</v>
      </c>
      <c r="E49">
        <v>50</v>
      </c>
      <c r="F49">
        <f>SUM(Table2[[#This Row],[Tamil]:[Science]])</f>
        <v>170</v>
      </c>
      <c r="G49">
        <f>AVERAGE(B49:E49)</f>
        <v>42.5</v>
      </c>
      <c r="H49" t="str">
        <f>IF(G49&gt;=90,"A",IF(G49&gt;=75,"B",IF(G49&gt;=50,"C","D")))</f>
        <v>D</v>
      </c>
      <c r="I49" t="str">
        <f>IF(MIN(B49:E49)&lt;35,"Fail","Pass")</f>
        <v>Pass</v>
      </c>
    </row>
    <row r="50" spans="1:9" x14ac:dyDescent="0.3">
      <c r="A50" t="s">
        <v>10</v>
      </c>
      <c r="B50">
        <v>60</v>
      </c>
      <c r="C50">
        <v>55</v>
      </c>
      <c r="D50">
        <v>70</v>
      </c>
      <c r="E50">
        <v>65</v>
      </c>
      <c r="F50">
        <f>SUM(Table2[[#This Row],[Tamil]:[Science]])</f>
        <v>250</v>
      </c>
      <c r="G50">
        <f>AVERAGE(B50:E50)</f>
        <v>62.5</v>
      </c>
      <c r="H50" t="str">
        <f>IF(G50&gt;=90,"A",IF(G50&gt;=75,"B",IF(G50&gt;=50,"C","D")))</f>
        <v>C</v>
      </c>
      <c r="I50" t="str">
        <f>IF(MIN(B50:E50)&lt;35,"Fail","Pass")</f>
        <v>Pass</v>
      </c>
    </row>
    <row r="51" spans="1:9" x14ac:dyDescent="0.3">
      <c r="A51" t="s">
        <v>9</v>
      </c>
      <c r="B51">
        <v>85</v>
      </c>
      <c r="C51">
        <v>78</v>
      </c>
      <c r="D51">
        <v>92</v>
      </c>
      <c r="E51">
        <v>88</v>
      </c>
      <c r="F51">
        <f>SUM(Table2[[#This Row],[Tamil]:[Science]])</f>
        <v>343</v>
      </c>
      <c r="G51">
        <f>AVERAGE(B51:E51)</f>
        <v>85.75</v>
      </c>
      <c r="H51" t="str">
        <f>IF(G51&gt;=90,"A",IF(G51&gt;=75,"B",IF(G51&gt;=50,"C","D")))</f>
        <v>B</v>
      </c>
      <c r="I51" t="str">
        <f>IF(MIN(B51:E51)&lt;35,"Fail","Pass")</f>
        <v>Pass</v>
      </c>
    </row>
  </sheetData>
  <mergeCells count="1">
    <mergeCell ref="K1:L1"/>
  </mergeCells>
  <conditionalFormatting sqref="I1:I1048576">
    <cfRule type="containsText" dxfId="2" priority="1" operator="containsText" text="Pass">
      <formula>NOT(ISERROR(SEARCH("Pass",I1)))</formula>
    </cfRule>
    <cfRule type="containsText" dxfId="1" priority="2" operator="containsText" text="Fail">
      <formula>NOT(ISERROR(SEARCH("Fail",I1)))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7FF7-ED92-4ED0-8449-997CD5972BBA}">
  <dimension ref="A1"/>
  <sheetViews>
    <sheetView topLeftCell="E57" workbookViewId="0">
      <selection activeCell="M57" sqref="M5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Marks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 Krishnan</cp:lastModifiedBy>
  <dcterms:created xsi:type="dcterms:W3CDTF">2026-03-24T15:17:24Z</dcterms:created>
  <dcterms:modified xsi:type="dcterms:W3CDTF">2026-03-24T16:19:46Z</dcterms:modified>
</cp:coreProperties>
</file>